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ENGW 3304\Substack\"/>
    </mc:Choice>
  </mc:AlternateContent>
  <xr:revisionPtr revIDLastSave="0" documentId="13_ncr:1_{CA6D1715-F388-44A5-985E-1F6A28F6C867}" xr6:coauthVersionLast="47" xr6:coauthVersionMax="47" xr10:uidLastSave="{00000000-0000-0000-0000-000000000000}"/>
  <bookViews>
    <workbookView xWindow="-98" yWindow="-98" windowWidth="21795" windowHeight="13695" activeTab="2" xr2:uid="{3B47F019-763B-44DE-9E7F-5825E12C4D46}"/>
  </bookViews>
  <sheets>
    <sheet name="Anthropic" sheetId="3" r:id="rId1"/>
    <sheet name="Uber Fundraising" sheetId="4" r:id="rId2"/>
    <sheet name="AV safety and sentiment" sheetId="5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E3" i="5" s="1"/>
</calcChain>
</file>

<file path=xl/sharedStrings.xml><?xml version="1.0" encoding="utf-8"?>
<sst xmlns="http://schemas.openxmlformats.org/spreadsheetml/2006/main" count="12" uniqueCount="9">
  <si>
    <t>Date</t>
  </si>
  <si>
    <t>Amount Raised</t>
  </si>
  <si>
    <t>Valuation</t>
  </si>
  <si>
    <t>Safety</t>
  </si>
  <si>
    <t>Consumer Sentiment</t>
  </si>
  <si>
    <t>AV Consumer Sentiment</t>
  </si>
  <si>
    <t>AV Safety</t>
  </si>
  <si>
    <t>Waymo Crashes</t>
  </si>
  <si>
    <r>
      <t xml:space="preserve">6.8x </t>
    </r>
    <r>
      <rPr>
        <i/>
        <sz val="11"/>
        <color theme="1"/>
        <rFont val="Aptos Narrow"/>
        <family val="2"/>
        <scheme val="minor"/>
      </rPr>
      <t>Less Crashes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</si>
</sst>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>
    <font>
      <sz val="11"/>
      <color theme="1"/>
      <name val="Aptos Narrow"/>
      <family val="2"/>
      <scheme val="minor"/>
    </font>
    <font>
      <sz val="11"/>
      <color theme="1"/>
      <name val="Futura"/>
    </font>
    <font>
      <sz val="11"/>
      <color theme="1"/>
      <name val="Avenir Next LT Pro"/>
      <family val="2"/>
    </font>
    <font>
      <sz val="11"/>
      <color theme="1"/>
      <name val="Open sasns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156082"/>
      <color rgb="FF001C2A"/>
      <color rgb="FF07A0C3"/>
      <color rgb="FF252932"/>
      <color rgb="FF00141E"/>
      <color rgb="FF00273A"/>
      <color rgb="FFF0C808"/>
      <color rgb="FF002C42"/>
      <color rgb="FF004060"/>
      <color rgb="FF0710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r>
              <a:rPr lang="en-US" sz="2400" b="0">
                <a:solidFill>
                  <a:schemeClr val="bg1"/>
                </a:solidFill>
                <a:latin typeface="Aharoni" panose="020F0502020204030204" pitchFamily="2" charset="-79"/>
                <a:ea typeface="Lato" panose="020F0502020204030203" pitchFamily="34" charset="0"/>
                <a:cs typeface="Aharoni" panose="020F0502020204030204" pitchFamily="2" charset="-79"/>
              </a:rPr>
              <a:t>In</a:t>
            </a:r>
            <a:r>
              <a:rPr lang="en-US" sz="2400" b="0" baseline="0">
                <a:solidFill>
                  <a:schemeClr val="bg1"/>
                </a:solidFill>
                <a:latin typeface="Aharoni" panose="020F0502020204030204" pitchFamily="2" charset="-79"/>
                <a:ea typeface="Lato" panose="020F0502020204030203" pitchFamily="34" charset="0"/>
                <a:cs typeface="Aharoni" panose="020F0502020204030204" pitchFamily="2" charset="-79"/>
              </a:rPr>
              <a:t> 10 Months, </a:t>
            </a:r>
            <a:r>
              <a:rPr lang="en-US" sz="2400" b="0">
                <a:solidFill>
                  <a:schemeClr val="bg1"/>
                </a:solidFill>
                <a:latin typeface="Aharoni" panose="020F0502020204030204" pitchFamily="2" charset="-79"/>
                <a:ea typeface="Lato" panose="020F0502020204030203" pitchFamily="34" charset="0"/>
                <a:cs typeface="Aharoni" panose="020F0502020204030204" pitchFamily="2" charset="-79"/>
              </a:rPr>
              <a:t>Anthrophic Has Raised over $7bn in 5</a:t>
            </a:r>
            <a:r>
              <a:rPr lang="en-US" sz="2400" b="0" baseline="0">
                <a:solidFill>
                  <a:schemeClr val="bg1"/>
                </a:solidFill>
                <a:latin typeface="Aharoni" panose="020F0502020204030204" pitchFamily="2" charset="-79"/>
                <a:ea typeface="Lato" panose="020F0502020204030203" pitchFamily="34" charset="0"/>
                <a:cs typeface="Aharoni" panose="020F0502020204030204" pitchFamily="2" charset="-79"/>
              </a:rPr>
              <a:t> Separate </a:t>
            </a:r>
            <a:r>
              <a:rPr lang="en-US" sz="2400" b="0">
                <a:solidFill>
                  <a:schemeClr val="bg1"/>
                </a:solidFill>
                <a:latin typeface="Aharoni" panose="020F0502020204030204" pitchFamily="2" charset="-79"/>
                <a:ea typeface="Lato" panose="020F0502020204030203" pitchFamily="34" charset="0"/>
                <a:cs typeface="Aharoni" panose="020F0502020204030204" pitchFamily="2" charset="-79"/>
              </a:rPr>
              <a:t>Rounds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64988436202918E-2"/>
          <c:y val="0.1124629492784638"/>
          <c:w val="0.95612371040769462"/>
          <c:h val="0.763080829741304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Anthropic!$C$2</c:f>
              <c:strCache>
                <c:ptCount val="1"/>
                <c:pt idx="0">
                  <c:v>Amount Raised</c:v>
                </c:pt>
              </c:strCache>
            </c:strRef>
          </c:tx>
          <c:spPr>
            <a:solidFill>
              <a:srgbClr val="07A0C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2594980089285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B7-4C0D-85C6-D2AE2040D476}"/>
                </c:ext>
              </c:extLst>
            </c:dLbl>
            <c:numFmt formatCode="&quot;$&quot;#,###,," sourceLinked="0"/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(Anthropic!$B$3,Anthropic!$B$4,Anthropic!$B$5,Anthropic!$B$6,Anthropic!$B$7,Anthropic!$B$8,Anthropic!$B$9)</c:f>
              <c:numCache>
                <c:formatCode>m/d/yyyy</c:formatCode>
                <c:ptCount val="7"/>
                <c:pt idx="0">
                  <c:v>44344</c:v>
                </c:pt>
                <c:pt idx="1">
                  <c:v>44680</c:v>
                </c:pt>
                <c:pt idx="2">
                  <c:v>45061</c:v>
                </c:pt>
                <c:pt idx="3">
                  <c:v>45194</c:v>
                </c:pt>
                <c:pt idx="4">
                  <c:v>45226</c:v>
                </c:pt>
                <c:pt idx="5">
                  <c:v>45281</c:v>
                </c:pt>
                <c:pt idx="6">
                  <c:v>45378</c:v>
                </c:pt>
              </c:numCache>
            </c:numRef>
          </c:cat>
          <c:val>
            <c:numRef>
              <c:f>Anthropic!$C$3:$C$9</c:f>
              <c:numCache>
                <c:formatCode>"$"#,##0</c:formatCode>
                <c:ptCount val="7"/>
                <c:pt idx="0">
                  <c:v>124000000</c:v>
                </c:pt>
                <c:pt idx="1">
                  <c:v>580000000</c:v>
                </c:pt>
                <c:pt idx="2">
                  <c:v>450000000</c:v>
                </c:pt>
                <c:pt idx="3">
                  <c:v>3420000000</c:v>
                </c:pt>
                <c:pt idx="4">
                  <c:v>2000000000</c:v>
                </c:pt>
                <c:pt idx="5">
                  <c:v>500000000</c:v>
                </c:pt>
                <c:pt idx="6">
                  <c:v>1250000000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7-4C0D-85C6-D2AE2040D476}"/>
            </c:ext>
          </c:extLst>
        </c:ser>
        <c:ser>
          <c:idx val="1"/>
          <c:order val="1"/>
          <c:tx>
            <c:strRef>
              <c:f>Anthropic!$D$2</c:f>
              <c:strCache>
                <c:ptCount val="1"/>
                <c:pt idx="0">
                  <c:v>Valuation</c:v>
                </c:pt>
              </c:strCache>
            </c:strRef>
          </c:tx>
          <c:spPr>
            <a:solidFill>
              <a:srgbClr val="F0C808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6434329129803074E-2"/>
                  <c:y val="-5.648601873285120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B7-4C0D-85C6-D2AE2040D476}"/>
                </c:ext>
              </c:extLst>
            </c:dLbl>
            <c:numFmt formatCode="&quot;$&quot;#,##0,," sourceLinked="0"/>
            <c:spPr>
              <a:solidFill>
                <a:srgbClr val="F0C80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(Anthropic!$B$3,Anthropic!$B$4,Anthropic!$B$5,Anthropic!$B$6,Anthropic!$B$7,Anthropic!$B$8,Anthropic!$B$9)</c:f>
              <c:numCache>
                <c:formatCode>m/d/yyyy</c:formatCode>
                <c:ptCount val="7"/>
                <c:pt idx="0">
                  <c:v>44344</c:v>
                </c:pt>
                <c:pt idx="1">
                  <c:v>44680</c:v>
                </c:pt>
                <c:pt idx="2">
                  <c:v>45061</c:v>
                </c:pt>
                <c:pt idx="3">
                  <c:v>45194</c:v>
                </c:pt>
                <c:pt idx="4">
                  <c:v>45226</c:v>
                </c:pt>
                <c:pt idx="5">
                  <c:v>45281</c:v>
                </c:pt>
                <c:pt idx="6">
                  <c:v>45378</c:v>
                </c:pt>
              </c:numCache>
            </c:numRef>
          </c:cat>
          <c:val>
            <c:numRef>
              <c:f>Anthropic!$D$3:$D$9</c:f>
              <c:numCache>
                <c:formatCode>"$"#,##0</c:formatCode>
                <c:ptCount val="7"/>
                <c:pt idx="0">
                  <c:v>674000000</c:v>
                </c:pt>
                <c:pt idx="1">
                  <c:v>4000000000</c:v>
                </c:pt>
                <c:pt idx="2">
                  <c:v>5000000000</c:v>
                </c:pt>
                <c:pt idx="3">
                  <c:v>18220000000</c:v>
                </c:pt>
                <c:pt idx="4">
                  <c:v>20320000000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B7-4C0D-85C6-D2AE2040D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overlap val="-27"/>
        <c:axId val="1227092912"/>
        <c:axId val="1227083792"/>
      </c:barChart>
      <c:dateAx>
        <c:axId val="1227092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83792"/>
        <c:crosses val="autoZero"/>
        <c:auto val="1"/>
        <c:lblOffset val="100"/>
        <c:baseTimeUnit val="months"/>
      </c:dateAx>
      <c:valAx>
        <c:axId val="1227083792"/>
        <c:scaling>
          <c:orientation val="minMax"/>
        </c:scaling>
        <c:delete val="1"/>
        <c:axPos val="l"/>
        <c:numFmt formatCode="&quot;$&quot;#,,&quot;mm&quot;" sourceLinked="0"/>
        <c:majorTickMark val="none"/>
        <c:minorTickMark val="none"/>
        <c:tickLblPos val="nextTo"/>
        <c:crossAx val="1227092912"/>
        <c:crossesAt val="44317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5293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Lato" panose="020F0502020204030203" pitchFamily="34" charset="0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chemeClr val="tx1"/>
                </a:solidFill>
                <a:latin typeface="Times New Roman" panose="02020603050405020304" pitchFamily="18" charset="0"/>
                <a:ea typeface="Lato" panose="020F0502020204030203" pitchFamily="34" charset="0"/>
                <a:cs typeface="Times New Roman" panose="02020603050405020304" pitchFamily="18" charset="0"/>
              </a:rPr>
              <a:t>Uber Pre-IPO Equity Fundraising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Lato" panose="020F0502020204030203" pitchFamily="34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64988436202918E-2"/>
          <c:y val="0.1124629492784638"/>
          <c:w val="0.95612371040769462"/>
          <c:h val="0.763080829741304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'Uber Fundraising'!$C$2</c:f>
              <c:strCache>
                <c:ptCount val="1"/>
                <c:pt idx="0">
                  <c:v>Amount Raised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-3.0601645914172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27-4366-9CB6-F0D593D4BF99}"/>
                </c:ext>
              </c:extLst>
            </c:dLbl>
            <c:numFmt formatCode="&quot;$&quot;#,###,," sourceLinked="0"/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Lato" panose="020F0502020204030203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'Uber Fundraising'!$B$3:$B$16</c:f>
              <c:numCache>
                <c:formatCode>m/d/yyyy</c:formatCode>
                <c:ptCount val="14"/>
                <c:pt idx="0">
                  <c:v>40443</c:v>
                </c:pt>
                <c:pt idx="1">
                  <c:v>40588</c:v>
                </c:pt>
                <c:pt idx="2">
                  <c:v>40948</c:v>
                </c:pt>
                <c:pt idx="3">
                  <c:v>41509</c:v>
                </c:pt>
                <c:pt idx="4">
                  <c:v>41796</c:v>
                </c:pt>
                <c:pt idx="5">
                  <c:v>41977</c:v>
                </c:pt>
                <c:pt idx="6">
                  <c:v>42053</c:v>
                </c:pt>
                <c:pt idx="7">
                  <c:v>42216</c:v>
                </c:pt>
                <c:pt idx="8">
                  <c:v>42514</c:v>
                </c:pt>
                <c:pt idx="9">
                  <c:v>42583</c:v>
                </c:pt>
                <c:pt idx="10">
                  <c:v>43346</c:v>
                </c:pt>
                <c:pt idx="11">
                  <c:v>43419</c:v>
                </c:pt>
                <c:pt idx="12">
                  <c:v>43508</c:v>
                </c:pt>
                <c:pt idx="13">
                  <c:v>43586</c:v>
                </c:pt>
              </c:numCache>
            </c:numRef>
          </c:cat>
          <c:val>
            <c:numRef>
              <c:f>'Uber Fundraising'!$C$3:$C$16</c:f>
              <c:numCache>
                <c:formatCode>"$"#,##0</c:formatCode>
                <c:ptCount val="14"/>
                <c:pt idx="0">
                  <c:v>1580000</c:v>
                </c:pt>
                <c:pt idx="1">
                  <c:v>11000000</c:v>
                </c:pt>
                <c:pt idx="2">
                  <c:v>48800000</c:v>
                </c:pt>
                <c:pt idx="3">
                  <c:v>258000000</c:v>
                </c:pt>
                <c:pt idx="4">
                  <c:v>1190000000</c:v>
                </c:pt>
                <c:pt idx="5">
                  <c:v>1200000000</c:v>
                </c:pt>
                <c:pt idx="6">
                  <c:v>1600000000</c:v>
                </c:pt>
                <c:pt idx="7">
                  <c:v>1000000000</c:v>
                </c:pt>
                <c:pt idx="8">
                  <c:v>5600000000</c:v>
                </c:pt>
                <c:pt idx="9">
                  <c:v>1000000000</c:v>
                </c:pt>
                <c:pt idx="10">
                  <c:v>500000000</c:v>
                </c:pt>
                <c:pt idx="12">
                  <c:v>1250000000</c:v>
                </c:pt>
                <c:pt idx="13">
                  <c:v>8100000000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D-409E-8696-98FE4F10BD1F}"/>
            </c:ext>
          </c:extLst>
        </c:ser>
        <c:ser>
          <c:idx val="1"/>
          <c:order val="1"/>
          <c:tx>
            <c:strRef>
              <c:f>'Uber Fundraising'!$D$2</c:f>
              <c:strCache>
                <c:ptCount val="1"/>
                <c:pt idx="0">
                  <c:v>Valuation</c:v>
                </c:pt>
              </c:strCache>
            </c:strRef>
          </c:tx>
          <c:spPr>
            <a:solidFill>
              <a:srgbClr val="F0C808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8289163813526295E-3"/>
                  <c:y val="-3.570153301675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ED-409E-8696-98FE4F10BD1F}"/>
                </c:ext>
              </c:extLst>
            </c:dLbl>
            <c:dLbl>
              <c:idx val="1"/>
              <c:layout>
                <c:manualLayout>
                  <c:x val="-5.651108988663711E-3"/>
                  <c:y val="-3.7126822302660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27-4366-9CB6-F0D593D4BF99}"/>
                </c:ext>
              </c:extLst>
            </c:dLbl>
            <c:dLbl>
              <c:idx val="2"/>
              <c:layout>
                <c:manualLayout>
                  <c:x val="-2.8221861609546098E-3"/>
                  <c:y val="-3.27580011935801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27-4366-9CB6-F0D593D4BF99}"/>
                </c:ext>
              </c:extLst>
            </c:dLbl>
            <c:dLbl>
              <c:idx val="3"/>
              <c:layout>
                <c:manualLayout>
                  <c:x val="0"/>
                  <c:y val="-4.3521297935325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B27-4366-9CB6-F0D593D4BF99}"/>
                </c:ext>
              </c:extLst>
            </c:dLbl>
            <c:dLbl>
              <c:idx val="5"/>
              <c:layout>
                <c:manualLayout>
                  <c:x val="-2.263480238993214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27-4366-9CB6-F0D593D4BF99}"/>
                </c:ext>
              </c:extLst>
            </c:dLbl>
            <c:dLbl>
              <c:idx val="6"/>
              <c:layout>
                <c:manualLayout>
                  <c:x val="1.55554530453586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27-4366-9CB6-F0D593D4BF99}"/>
                </c:ext>
              </c:extLst>
            </c:dLbl>
            <c:dLbl>
              <c:idx val="8"/>
              <c:layout>
                <c:manualLayout>
                  <c:x val="-1.4121650569653033E-2"/>
                  <c:y val="-4.019726588456955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27-4366-9CB6-F0D593D4BF99}"/>
                </c:ext>
              </c:extLst>
            </c:dLbl>
            <c:dLbl>
              <c:idx val="9"/>
              <c:layout>
                <c:manualLayout>
                  <c:x val="1.412065610725184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27-4366-9CB6-F0D593D4BF99}"/>
                </c:ext>
              </c:extLst>
            </c:dLbl>
            <c:dLbl>
              <c:idx val="10"/>
              <c:layout>
                <c:manualLayout>
                  <c:x val="-1.2726097509057795E-2"/>
                  <c:y val="-1.993065282392247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27-4366-9CB6-F0D593D4BF99}"/>
                </c:ext>
              </c:extLst>
            </c:dLbl>
            <c:dLbl>
              <c:idx val="12"/>
              <c:layout>
                <c:manualLayout>
                  <c:x val="-2.8237977545450149E-3"/>
                  <c:y val="-1.993065282392247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27-4366-9CB6-F0D593D4BF99}"/>
                </c:ext>
              </c:extLst>
            </c:dLbl>
            <c:numFmt formatCode="&quot;$&quot;#,##0,," sourceLinked="0"/>
            <c:spPr>
              <a:solidFill>
                <a:srgbClr val="F0C80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Lato" panose="020F0502020204030203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'Uber Fundraising'!$B$3:$B$16</c:f>
              <c:numCache>
                <c:formatCode>m/d/yyyy</c:formatCode>
                <c:ptCount val="14"/>
                <c:pt idx="0">
                  <c:v>40443</c:v>
                </c:pt>
                <c:pt idx="1">
                  <c:v>40588</c:v>
                </c:pt>
                <c:pt idx="2">
                  <c:v>40948</c:v>
                </c:pt>
                <c:pt idx="3">
                  <c:v>41509</c:v>
                </c:pt>
                <c:pt idx="4">
                  <c:v>41796</c:v>
                </c:pt>
                <c:pt idx="5">
                  <c:v>41977</c:v>
                </c:pt>
                <c:pt idx="6">
                  <c:v>42053</c:v>
                </c:pt>
                <c:pt idx="7">
                  <c:v>42216</c:v>
                </c:pt>
                <c:pt idx="8">
                  <c:v>42514</c:v>
                </c:pt>
                <c:pt idx="9">
                  <c:v>42583</c:v>
                </c:pt>
                <c:pt idx="10">
                  <c:v>43346</c:v>
                </c:pt>
                <c:pt idx="11">
                  <c:v>43419</c:v>
                </c:pt>
                <c:pt idx="12">
                  <c:v>43508</c:v>
                </c:pt>
                <c:pt idx="13">
                  <c:v>43586</c:v>
                </c:pt>
              </c:numCache>
            </c:numRef>
          </c:cat>
          <c:val>
            <c:numRef>
              <c:f>'Uber Fundraising'!$D$3:$D$16</c:f>
              <c:numCache>
                <c:formatCode>"$"#,##0</c:formatCode>
                <c:ptCount val="14"/>
                <c:pt idx="0">
                  <c:v>5440000</c:v>
                </c:pt>
                <c:pt idx="1">
                  <c:v>60000000</c:v>
                </c:pt>
                <c:pt idx="2">
                  <c:v>347000000</c:v>
                </c:pt>
                <c:pt idx="3">
                  <c:v>3720000000</c:v>
                </c:pt>
                <c:pt idx="4">
                  <c:v>18200000000</c:v>
                </c:pt>
                <c:pt idx="5">
                  <c:v>41200000000</c:v>
                </c:pt>
                <c:pt idx="6">
                  <c:v>42800000000</c:v>
                </c:pt>
                <c:pt idx="7">
                  <c:v>51000000000</c:v>
                </c:pt>
                <c:pt idx="8">
                  <c:v>66600000000</c:v>
                </c:pt>
                <c:pt idx="9">
                  <c:v>68000000000</c:v>
                </c:pt>
                <c:pt idx="10">
                  <c:v>72000000000</c:v>
                </c:pt>
                <c:pt idx="11">
                  <c:v>45000000000</c:v>
                </c:pt>
                <c:pt idx="12">
                  <c:v>69600000000</c:v>
                </c:pt>
                <c:pt idx="13">
                  <c:v>75700000000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ED-409E-8696-98FE4F10B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1227092912"/>
        <c:axId val="1227083792"/>
      </c:barChart>
      <c:dateAx>
        <c:axId val="1227092912"/>
        <c:scaling>
          <c:orientation val="minMax"/>
        </c:scaling>
        <c:delete val="0"/>
        <c:axPos val="b"/>
        <c:numFmt formatCode="mmm\ 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27083792"/>
        <c:crosses val="autoZero"/>
        <c:auto val="1"/>
        <c:lblOffset val="100"/>
        <c:baseTimeUnit val="months"/>
        <c:majorUnit val="2"/>
        <c:majorTimeUnit val="months"/>
      </c:dateAx>
      <c:valAx>
        <c:axId val="122708379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 bllions of $s</a:t>
                </a:r>
              </a:p>
            </c:rich>
          </c:tx>
          <c:layout>
            <c:manualLayout>
              <c:xMode val="edge"/>
              <c:yMode val="edge"/>
              <c:x val="0.20136685327957909"/>
              <c:y val="0.225097342365708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,&quot;mm&quot;" sourceLinked="0"/>
        <c:majorTickMark val="none"/>
        <c:minorTickMark val="none"/>
        <c:tickLblPos val="nextTo"/>
        <c:crossAx val="1227092912"/>
        <c:crossesAt val="44317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Lato" panose="020F0502020204030203" pitchFamily="34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AVs Have a Cognitive Dissonance Problem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 safety and sentiment'!$B$4</c:f>
              <c:strCache>
                <c:ptCount val="1"/>
                <c:pt idx="0">
                  <c:v>Safety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'AV safety and sentiment'!$C$3:$E$3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'AV safety and sentiment'!$C$4:$E$4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6-4CFA-AB6A-3CD059D6F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609871"/>
        <c:axId val="1528610351"/>
      </c:lineChart>
      <c:lineChart>
        <c:grouping val="standard"/>
        <c:varyColors val="0"/>
        <c:ser>
          <c:idx val="1"/>
          <c:order val="1"/>
          <c:tx>
            <c:strRef>
              <c:f>'AV safety and sentiment'!$B$5</c:f>
              <c:strCache>
                <c:ptCount val="1"/>
                <c:pt idx="0">
                  <c:v>Consumer Sentiment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'AV safety and sentiment'!$C$3:$E$3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'AV safety and sentiment'!$C$5:$E$5</c:f>
              <c:numCache>
                <c:formatCode>0%</c:formatCode>
                <c:ptCount val="3"/>
                <c:pt idx="0">
                  <c:v>0.44</c:v>
                </c:pt>
                <c:pt idx="1">
                  <c:v>0.39</c:v>
                </c:pt>
                <c:pt idx="2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6-4CFA-AB6A-3CD059D6F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6803776"/>
        <c:axId val="746802816"/>
      </c:lineChart>
      <c:catAx>
        <c:axId val="152860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8610351"/>
        <c:crosses val="autoZero"/>
        <c:auto val="1"/>
        <c:lblAlgn val="ctr"/>
        <c:lblOffset val="100"/>
        <c:noMultiLvlLbl val="0"/>
      </c:catAx>
      <c:valAx>
        <c:axId val="15286103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# of annual Waymo accidents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8609871"/>
        <c:crosses val="autoZero"/>
        <c:crossBetween val="between"/>
      </c:valAx>
      <c:valAx>
        <c:axId val="7468028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comfortable riding</a:t>
                </a:r>
                <a:r>
                  <a:rPr 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an AV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6803776"/>
        <c:crosses val="max"/>
        <c:crossBetween val="between"/>
      </c:valAx>
      <c:catAx>
        <c:axId val="74680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680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Waymo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Vehicles Have Lower Crash Rates Than Human Drivers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6880B27A-4F42-4C46-9D0D-0E67AA865EAC}" type="CATEGORYNAME">
                      <a:rPr lang="en-US"/>
                      <a:pPr>
                        <a:defRPr sz="10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[CATEGORY NAME]</a:t>
                    </a:fld>
                    <a:endParaRPr lang="en-US"/>
                  </a:p>
                </c:rich>
              </c:tx>
              <c:numFmt formatCode="0.0\x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D4F-4555-84BE-0C1BAC95326E}"/>
                </c:ext>
              </c:extLst>
            </c:dLbl>
            <c:numFmt formatCode="0.0\x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 safety and sentiment'!$B$28:$B$30</c:f>
              <c:strCache>
                <c:ptCount val="3"/>
                <c:pt idx="0">
                  <c:v>AV Safety</c:v>
                </c:pt>
                <c:pt idx="1">
                  <c:v>6.8x Less Crashes</c:v>
                </c:pt>
                <c:pt idx="2">
                  <c:v>Waymo Crashes</c:v>
                </c:pt>
              </c:strCache>
            </c:strRef>
          </c:cat>
          <c:val>
            <c:numRef>
              <c:f>'AV safety and sentiment'!$C$28:$C$30</c:f>
              <c:numCache>
                <c:formatCode>General</c:formatCode>
                <c:ptCount val="3"/>
                <c:pt idx="1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F-4555-84BE-0C1BAC953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36655"/>
        <c:axId val="59422255"/>
      </c:barChart>
      <c:catAx>
        <c:axId val="59436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422255"/>
        <c:crosses val="autoZero"/>
        <c:auto val="1"/>
        <c:lblAlgn val="ctr"/>
        <c:lblOffset val="100"/>
        <c:noMultiLvlLbl val="0"/>
      </c:catAx>
      <c:valAx>
        <c:axId val="594222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43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31462</xdr:colOff>
      <xdr:row>2</xdr:row>
      <xdr:rowOff>28736</xdr:rowOff>
    </xdr:from>
    <xdr:to>
      <xdr:col>16</xdr:col>
      <xdr:colOff>630086</xdr:colOff>
      <xdr:row>28</xdr:row>
      <xdr:rowOff>16113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AAB8E-4105-4C2B-B7F1-8F58EDB45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31461</xdr:colOff>
      <xdr:row>2</xdr:row>
      <xdr:rowOff>28736</xdr:rowOff>
    </xdr:from>
    <xdr:to>
      <xdr:col>18</xdr:col>
      <xdr:colOff>603696</xdr:colOff>
      <xdr:row>34</xdr:row>
      <xdr:rowOff>40247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6F3B6-0B82-461A-B918-9A6287F39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21431</xdr:rowOff>
    </xdr:from>
    <xdr:to>
      <xdr:col>7</xdr:col>
      <xdr:colOff>166687</xdr:colOff>
      <xdr:row>25</xdr:row>
      <xdr:rowOff>137711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7E18A6-A05B-8E9A-B305-F38463E16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645914</xdr:colOff>
      <xdr:row>26</xdr:row>
      <xdr:rowOff>166290</xdr:rowOff>
    </xdr:from>
    <xdr:to>
      <xdr:col>11</xdr:col>
      <xdr:colOff>18852</xdr:colOff>
      <xdr:row>42</xdr:row>
      <xdr:rowOff>51990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BD5DB-BD35-A96C-04DB-4BBCE79E4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755E-C550-4F92-9393-01CE004B89B8}">
  <dimension ref="B2:S80"/>
  <sheetViews>
    <sheetView zoomScale="71" zoomScaleNormal="106" workbookViewId="0">
      <selection activeCell="E39" sqref="A1:XFD1048576"/>
    </sheetView>
  </sheetViews>
  <sheetFormatPr defaultRowHeight="14.25"/>
  <cols>
    <col min="1" max="1" width="9.06640625" style="1"/>
    <col min="2" max="2" width="9.9296875" style="1" bestFit="1" customWidth="1"/>
    <col min="3" max="3" width="14.59765625" style="1" bestFit="1" customWidth="1"/>
    <col min="4" max="4" width="14.3984375" style="1" bestFit="1" customWidth="1"/>
    <col min="5" max="16384" width="9.06640625" style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>
        <v>44344</v>
      </c>
      <c r="C3" s="3">
        <v>124000000</v>
      </c>
      <c r="D3" s="3">
        <v>674000000</v>
      </c>
    </row>
    <row r="4" spans="2:4">
      <c r="B4" s="2">
        <v>44680</v>
      </c>
      <c r="C4" s="3">
        <v>580000000</v>
      </c>
      <c r="D4" s="3">
        <v>4000000000</v>
      </c>
    </row>
    <row r="5" spans="2:4">
      <c r="B5" s="2">
        <v>45061</v>
      </c>
      <c r="C5" s="3">
        <v>450000000</v>
      </c>
      <c r="D5" s="3">
        <v>5000000000</v>
      </c>
    </row>
    <row r="6" spans="2:4">
      <c r="B6" s="2">
        <v>45194</v>
      </c>
      <c r="C6" s="3">
        <v>3420000000</v>
      </c>
      <c r="D6" s="3">
        <v>18220000000</v>
      </c>
    </row>
    <row r="7" spans="2:4">
      <c r="B7" s="2">
        <v>45226</v>
      </c>
      <c r="C7" s="3">
        <v>2000000000</v>
      </c>
      <c r="D7" s="3">
        <v>20320000000</v>
      </c>
    </row>
    <row r="8" spans="2:4">
      <c r="B8" s="2">
        <v>45281</v>
      </c>
      <c r="C8" s="3">
        <v>500000000</v>
      </c>
      <c r="D8" s="3"/>
    </row>
    <row r="9" spans="2:4">
      <c r="B9" s="2">
        <v>45378</v>
      </c>
      <c r="C9" s="3">
        <v>1250000000</v>
      </c>
      <c r="D9" s="3"/>
    </row>
    <row r="36" spans="4:4">
      <c r="D36" s="4"/>
    </row>
    <row r="79" spans="18:19">
      <c r="S79" s="5"/>
    </row>
    <row r="80" spans="18:19">
      <c r="R80" s="6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0476-CD3A-4F5F-9346-8572450854BD}">
  <dimension ref="B2:S78"/>
  <sheetViews>
    <sheetView zoomScale="67" zoomScaleNormal="161" workbookViewId="0">
      <selection activeCell="V34" sqref="V34"/>
    </sheetView>
  </sheetViews>
  <sheetFormatPr defaultRowHeight="14.25"/>
  <cols>
    <col min="1" max="1" width="9.06640625" style="1"/>
    <col min="2" max="2" width="10.3984375" style="1" bestFit="1" customWidth="1"/>
    <col min="3" max="3" width="13.6640625" style="1" bestFit="1" customWidth="1"/>
    <col min="4" max="4" width="14.73046875" style="1" bestFit="1" customWidth="1"/>
    <col min="5" max="16384" width="9.06640625" style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>
        <v>40443</v>
      </c>
      <c r="C3" s="3">
        <v>1580000</v>
      </c>
      <c r="D3" s="3">
        <v>5440000</v>
      </c>
    </row>
    <row r="4" spans="2:4">
      <c r="B4" s="2">
        <v>40588</v>
      </c>
      <c r="C4" s="3">
        <v>11000000</v>
      </c>
      <c r="D4" s="3">
        <v>60000000</v>
      </c>
    </row>
    <row r="5" spans="2:4">
      <c r="B5" s="2">
        <v>40948</v>
      </c>
      <c r="C5" s="3">
        <v>48800000</v>
      </c>
      <c r="D5" s="3">
        <v>347000000</v>
      </c>
    </row>
    <row r="6" spans="2:4">
      <c r="B6" s="2">
        <v>41509</v>
      </c>
      <c r="C6" s="3">
        <v>258000000</v>
      </c>
      <c r="D6" s="3">
        <v>3720000000</v>
      </c>
    </row>
    <row r="7" spans="2:4">
      <c r="B7" s="2">
        <v>41796</v>
      </c>
      <c r="C7" s="3">
        <v>1190000000</v>
      </c>
      <c r="D7" s="3">
        <v>18200000000</v>
      </c>
    </row>
    <row r="8" spans="2:4">
      <c r="B8" s="2">
        <v>41977</v>
      </c>
      <c r="C8" s="3">
        <v>1200000000</v>
      </c>
      <c r="D8" s="3">
        <v>41200000000</v>
      </c>
    </row>
    <row r="9" spans="2:4">
      <c r="B9" s="2">
        <v>42053</v>
      </c>
      <c r="C9" s="3">
        <v>1600000000</v>
      </c>
      <c r="D9" s="3">
        <v>42800000000</v>
      </c>
    </row>
    <row r="10" spans="2:4">
      <c r="B10" s="2">
        <v>42216</v>
      </c>
      <c r="C10" s="3">
        <v>1000000000</v>
      </c>
      <c r="D10" s="3">
        <v>51000000000</v>
      </c>
    </row>
    <row r="11" spans="2:4">
      <c r="B11" s="2">
        <v>42514</v>
      </c>
      <c r="C11" s="3">
        <v>5600000000</v>
      </c>
      <c r="D11" s="3">
        <v>66600000000</v>
      </c>
    </row>
    <row r="12" spans="2:4">
      <c r="B12" s="2">
        <v>42583</v>
      </c>
      <c r="C12" s="3">
        <v>1000000000</v>
      </c>
      <c r="D12" s="3">
        <v>68000000000</v>
      </c>
    </row>
    <row r="13" spans="2:4">
      <c r="B13" s="2">
        <v>43346</v>
      </c>
      <c r="C13" s="3">
        <v>500000000</v>
      </c>
      <c r="D13" s="3">
        <v>72000000000</v>
      </c>
    </row>
    <row r="14" spans="2:4">
      <c r="B14" s="2">
        <v>43419</v>
      </c>
      <c r="C14" s="3"/>
      <c r="D14" s="3">
        <v>45000000000</v>
      </c>
    </row>
    <row r="15" spans="2:4">
      <c r="B15" s="2">
        <v>43508</v>
      </c>
      <c r="C15" s="3">
        <v>1250000000</v>
      </c>
      <c r="D15" s="3">
        <v>69600000000</v>
      </c>
    </row>
    <row r="16" spans="2:4">
      <c r="B16" s="2">
        <v>43586</v>
      </c>
      <c r="C16" s="3">
        <v>8100000000</v>
      </c>
      <c r="D16" s="3">
        <v>75700000000</v>
      </c>
    </row>
    <row r="34" spans="4:4">
      <c r="D34" s="4"/>
    </row>
    <row r="77" spans="18:19">
      <c r="S77" s="5"/>
    </row>
    <row r="78" spans="18:19">
      <c r="R78" s="6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37C1-0988-46C0-BC56-3222133F9D6F}">
  <dimension ref="B2:E30"/>
  <sheetViews>
    <sheetView tabSelected="1" topLeftCell="A12" zoomScale="97" workbookViewId="0">
      <selection activeCell="C34" sqref="C34"/>
    </sheetView>
  </sheetViews>
  <sheetFormatPr defaultRowHeight="14.25"/>
  <cols>
    <col min="2" max="2" width="38.1328125" bestFit="1" customWidth="1"/>
  </cols>
  <sheetData>
    <row r="2" spans="2:5">
      <c r="B2" t="s">
        <v>5</v>
      </c>
    </row>
    <row r="3" spans="2:5">
      <c r="C3">
        <v>2021</v>
      </c>
      <c r="D3">
        <f t="shared" ref="D3" si="0">C3+1</f>
        <v>2022</v>
      </c>
      <c r="E3">
        <f>D3+1</f>
        <v>2023</v>
      </c>
    </row>
    <row r="4" spans="2:5">
      <c r="B4" t="s">
        <v>3</v>
      </c>
    </row>
    <row r="5" spans="2:5">
      <c r="B5" t="s">
        <v>4</v>
      </c>
      <c r="C5" s="7">
        <v>0.44</v>
      </c>
      <c r="D5" s="7">
        <v>0.39</v>
      </c>
      <c r="E5" s="7">
        <v>0.37</v>
      </c>
    </row>
    <row r="28" spans="2:3">
      <c r="B28" t="s">
        <v>6</v>
      </c>
    </row>
    <row r="29" spans="2:3">
      <c r="B29" t="s">
        <v>8</v>
      </c>
      <c r="C29">
        <v>6.8</v>
      </c>
    </row>
    <row r="30" spans="2:3">
      <c r="B30" t="s">
        <v>7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Anthropic</vt:lpstr>
      <vt:lpstr>Uber Fundraising</vt:lpstr>
      <vt:lpstr>AV safety and sentiment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Krishna</dc:creator>
  <cp:lastModifiedBy>Avinash Krishna</cp:lastModifiedBy>
  <dcterms:created xsi:type="dcterms:W3CDTF">2024-03-27T17:34:05Z</dcterms:created>
  <dcterms:modified xsi:type="dcterms:W3CDTF">2024-05-31T21:04:15Z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{B8630965-14BA-4993-B977-65A877B07FD8}</vt:lpwstr>
  </property>
</Properties>
</file>